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Risk Assessment" sheetId="1" r:id="rId1"/>
    <sheet name="Ranked Vulnerability 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<sst xmlns="http://schemas.openxmlformats.org/spreadsheetml/2006/main" count="322" uniqueCount="159">
  <si>
    <t>Company:  Globe Telecom</t>
  </si>
  <si>
    <r>
      <rPr>
        <sz val="14"/>
        <color theme="1"/>
        <rFont val="Times New Roman"/>
        <charset val="134"/>
      </rPr>
      <t xml:space="preserve">Date Assessed: </t>
    </r>
    <r>
      <rPr>
        <b/>
        <sz val="14"/>
        <color theme="1"/>
        <rFont val="Times New Roman"/>
        <charset val="134"/>
      </rPr>
      <t>September 2026</t>
    </r>
  </si>
  <si>
    <t>Risk Assessment</t>
  </si>
  <si>
    <t>Category</t>
  </si>
  <si>
    <t>Assets</t>
  </si>
  <si>
    <t>Asset 
ID</t>
  </si>
  <si>
    <t>Threats</t>
  </si>
  <si>
    <t>Vulnerabilities</t>
  </si>
  <si>
    <t>Impact</t>
  </si>
  <si>
    <t>Weight</t>
  </si>
  <si>
    <t>Probability</t>
  </si>
  <si>
    <t>Risk Value</t>
  </si>
  <si>
    <t>Risk Rating</t>
  </si>
  <si>
    <t>People</t>
  </si>
  <si>
    <t xml:space="preserve">   Employees</t>
  </si>
  <si>
    <t>Employees may disclose credentials to attackers through phishing scams.</t>
  </si>
  <si>
    <t>No training for staff to spot phishing attempts</t>
  </si>
  <si>
    <t>Major</t>
  </si>
  <si>
    <t>Likely</t>
  </si>
  <si>
    <t>Excessive privileges may allow unauthorized access to sensitive systems.</t>
  </si>
  <si>
    <t>Staff and contractors given more access than needed</t>
  </si>
  <si>
    <t>Possible</t>
  </si>
  <si>
    <t>Insiders may misuse sensitive data without detection or accountability</t>
  </si>
  <si>
    <t>No monitoring of employees with access to sensitive data</t>
  </si>
  <si>
    <t>Employees may make security mistakes due to insufficient training</t>
  </si>
  <si>
    <t>Inconsistent security training across a large workforce</t>
  </si>
  <si>
    <t>Moderate</t>
  </si>
  <si>
    <t>Minor</t>
  </si>
  <si>
    <t>Unlikely</t>
  </si>
  <si>
    <t xml:space="preserve">   Non Employees</t>
  </si>
  <si>
    <t>Customer</t>
  </si>
  <si>
    <t>Attackers may access accounts using stolen customer passwords</t>
  </si>
  <si>
    <t>No strong second-factor verification for customer account logins</t>
  </si>
  <si>
    <t>Procedures</t>
  </si>
  <si>
    <t>Human errors may cause system failures or configuration problems.</t>
  </si>
  <si>
    <t>High volume of manual changes increases error risk</t>
  </si>
  <si>
    <t>Outdated records may delay maintenance and incident response.</t>
  </si>
  <si>
    <t>Asset and tower records not kept up to date</t>
  </si>
  <si>
    <t>Attackers may compromise internal tools using weak passwords.</t>
  </si>
  <si>
    <t>Weak password rules on non-critical internal tools</t>
  </si>
  <si>
    <t>Data</t>
  </si>
  <si>
    <t>Attackers may steal exposed customer information from databases.</t>
  </si>
  <si>
    <t>Customer database lacks strong encryption and access limits</t>
  </si>
  <si>
    <t>Software</t>
  </si>
  <si>
    <t>Attackers may exploit known software vulnerabilities to compromise systems.</t>
  </si>
  <si>
    <t>Systems running outdated software with known vulnerabilities</t>
  </si>
  <si>
    <t>Malware infections may compromise devices, systems, and sensitive information.</t>
  </si>
  <si>
    <t>No adequate malware protection on email and endpoints</t>
  </si>
  <si>
    <t>Attackers may access unauthorized functions or sensitive application data.</t>
  </si>
  <si>
    <t>APIs lack proper authorization checks before granting access</t>
  </si>
  <si>
    <t>Attackers may access publicly exposed cloud resources and data.</t>
  </si>
  <si>
    <t>Cloud storage and consoles left exposed by mistake</t>
  </si>
  <si>
    <t>Suspicious activity may remain undetected until significant damage occurs</t>
  </si>
  <si>
    <t>No centralized system to catch suspicious network activity</t>
  </si>
  <si>
    <t>Hardware</t>
  </si>
  <si>
    <t xml:space="preserve">   System Devices and Peripherals</t>
  </si>
  <si>
    <t xml:space="preserve">      System Peripherals</t>
  </si>
  <si>
    <t>UPS, batteries, power supplies</t>
  </si>
  <si>
    <t>Power outages may shut down remote network equipment</t>
  </si>
  <si>
    <t>Remote sites lack reliable backup power during outages</t>
  </si>
  <si>
    <t>Servers, storage devices</t>
  </si>
  <si>
    <t>Flooding may damage equipment and interrupt network operations</t>
  </si>
  <si>
    <t>Facilities in low-lying areas lack flood protection</t>
  </si>
  <si>
    <t xml:space="preserve">      Security Devices</t>
  </si>
  <si>
    <t>Smoke detectors, fire alarms, fire-suppression systems</t>
  </si>
  <si>
    <t>Fires may spread undetected and severely damage facility equipment.</t>
  </si>
  <si>
    <t>Legacy facilities lack modern fire detection systems</t>
  </si>
  <si>
    <t>CCTV cameras, access-control systems, locks</t>
  </si>
  <si>
    <t>Unauthorized individuals may physically access or damage equipment.</t>
  </si>
  <si>
    <t>Remote sites lack physical access controls and CCTV</t>
  </si>
  <si>
    <t xml:space="preserve">   Networking Components</t>
  </si>
  <si>
    <t xml:space="preserve">       Intranet Components</t>
  </si>
  <si>
    <t>Routers, switches, network controllers</t>
  </si>
  <si>
    <t>Equipment failures may cause prolonged network service interruptions.</t>
  </si>
  <si>
    <t>Aging core network equipment lacks proper maintenance</t>
  </si>
  <si>
    <t>Fiber-optic cables, fiber connectors</t>
  </si>
  <si>
    <t>Construction activities may sever cables and disrupt network connectivity.</t>
  </si>
  <si>
    <t>Fiber lines exposed to accidental digging and construction damage</t>
  </si>
  <si>
    <t>Antennas, radio units, base stations</t>
  </si>
  <si>
    <t>Equipment failures may interrupt mobile network services unexpectedly.</t>
  </si>
  <si>
    <t>Tower radio equipment lacks scheduled inspection and backups</t>
  </si>
  <si>
    <t>Routers, switches, network links</t>
  </si>
  <si>
    <t>Traffic surges may overwhelm infrastructure and degrade network services.</t>
  </si>
  <si>
    <t>Network capacity not scaled for predictable traffic surges</t>
  </si>
  <si>
    <t>Routers, switches, redundant fiber links</t>
  </si>
  <si>
    <t>A single network failure may disrupt critical connectivity.</t>
  </si>
  <si>
    <t>Too few backup routes for critical network paths</t>
  </si>
  <si>
    <t>Cell towers, antennas, radio equipment</t>
  </si>
  <si>
    <t>Typhoons may damage towers and cause widespread network outages.</t>
  </si>
  <si>
    <t>Towers not reinforced against frequent typhoon damage</t>
  </si>
  <si>
    <t>Fiber cables, routers, switches</t>
  </si>
  <si>
    <t>Thieves may steal equipment and disrupt network operations.</t>
  </si>
  <si>
    <t>Remote sites vulnerable to cable and equipment theft</t>
  </si>
  <si>
    <t>Prepared by:</t>
  </si>
  <si>
    <t>Submitted to:</t>
  </si>
  <si>
    <t>Martin, Mark Allen E.</t>
  </si>
  <si>
    <t>Reychelle G. Nabong</t>
  </si>
  <si>
    <t>Labrador, Rovic G.</t>
  </si>
  <si>
    <t>Instructor</t>
  </si>
  <si>
    <t>Garcia, Vince Jasper B.</t>
  </si>
  <si>
    <t>Tolentino, Jean Raven S.</t>
  </si>
  <si>
    <t>Liban, Joseph Dj L.</t>
  </si>
  <si>
    <t>Ranked Vulnerability Worksheet</t>
  </si>
  <si>
    <t>No.</t>
  </si>
  <si>
    <t>Vulnerability</t>
  </si>
  <si>
    <t>Asset Affected</t>
  </si>
  <si>
    <t>Risk Treatment</t>
  </si>
  <si>
    <t>Risk Response</t>
  </si>
  <si>
    <t>Customer accounts</t>
  </si>
  <si>
    <t>Significant</t>
  </si>
  <si>
    <t>Mitigate</t>
  </si>
  <si>
    <t>Adding a second login check (like OTP) so a stolen password alone isn't enough to get in.</t>
  </si>
  <si>
    <t>Customer &amp; employee accounts</t>
  </si>
  <si>
    <t>Teaches staff and customers to recognize scam texts/calls before they fall for them.</t>
  </si>
  <si>
    <t>Servers &amp; applications</t>
  </si>
  <si>
    <t>Keeps software updated so known security holes get fixed before hackers exploit them.</t>
  </si>
  <si>
    <t>Cell towers &amp; network infrastructure</t>
  </si>
  <si>
    <t>Builds towers to withstand storms and has a recovery plan for when they're hit anyway.</t>
  </si>
  <si>
    <t>Servers &amp; endpoints</t>
  </si>
  <si>
    <t>Detects and blocks malware on devices, and keeps backups so data can be restored if hit.</t>
  </si>
  <si>
    <t>Applications &amp; backend systems</t>
  </si>
  <si>
    <t>Checks that APIs only allow the right users to do the right actions.</t>
  </si>
  <si>
    <t>Customer databases</t>
  </si>
  <si>
    <t>Scrambles sensitive data and limits/tracks who can query the database.</t>
  </si>
  <si>
    <t>Sensitive information &amp; systems</t>
  </si>
  <si>
    <t>Tracks employee data access and splits sensitive tasks so no one person controls everything.</t>
  </si>
  <si>
    <t>Cloud systems &amp; data</t>
  </si>
  <si>
    <t>Regularly checks cloud settings so nothing is accidentally left open to the public.</t>
  </si>
  <si>
    <t>Servers &amp; network equipment</t>
  </si>
  <si>
    <t>Locks down who can physically reach equipment and records who tries.</t>
  </si>
  <si>
    <t>Telecommunications network</t>
  </si>
  <si>
    <t>Services equipment before it fails, and has backups ready if it does.</t>
  </si>
  <si>
    <t>Network connectivity</t>
  </si>
  <si>
    <t>Shields cables from damage and adds alternate paths if one line is cut.</t>
  </si>
  <si>
    <t>Mobile network</t>
  </si>
  <si>
    <t>Regularly checks tower gear and keeps spares ready to swap in.</t>
  </si>
  <si>
    <t>Mobile/data services</t>
  </si>
  <si>
    <t>Adds capacity and tunes the network ahead of predictable usage spikes.</t>
  </si>
  <si>
    <t>Critical network infrastructure</t>
  </si>
  <si>
    <t>Avoids relying on one single point that could take everything down if it fails.</t>
  </si>
  <si>
    <t>Data centers &amp; network equipment</t>
  </si>
  <si>
    <t>Keeps sites running on battery/generator power during outages or brownouts.</t>
  </si>
  <si>
    <t>Network facilities &amp; equipment</t>
  </si>
  <si>
    <t>Waterproofs equipment and has a recovery plan ready if flooding hits.</t>
  </si>
  <si>
    <t>Databases &amp; internal systems</t>
  </si>
  <si>
    <t>Gives each employee only the access they actually need, nothing more.</t>
  </si>
  <si>
    <t>Information systems</t>
  </si>
  <si>
    <t>Keeps staff up to date on the latest scam and attack tactics.</t>
  </si>
  <si>
    <t>IT infrastructure</t>
  </si>
  <si>
    <t>Collects system activity in one place so suspicious behavior is spotted quickly.</t>
  </si>
  <si>
    <t>Network Infrastructure</t>
  </si>
  <si>
    <t>Secures sites and tags equipment so theft is harder and easier to spot.</t>
  </si>
  <si>
    <t>Requires review/approval steps before making system changes, reducing mistakes.</t>
  </si>
  <si>
    <t>Data centers &amp; facilities</t>
  </si>
  <si>
    <t>Low</t>
  </si>
  <si>
    <t>Installs modern alarms and fire-suppression equipment in facilities that lack them.</t>
  </si>
  <si>
    <t>Keeps records of equipment and towers current so troubleshooting is faster.</t>
  </si>
  <si>
    <t>Internal admin &amp; ticketing systems</t>
  </si>
  <si>
    <t>Sets a minimum password strength rule across all internal tools, not just critical ones.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</si>
</sst>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i/>
      <sz val="11"/>
      <color rgb="FFFF0000"/>
      <name val="Times New Roman"/>
      <charset val="134"/>
    </font>
    <font>
      <i/>
      <sz val="11"/>
      <color theme="1"/>
      <name val="Times New Roman"/>
      <charset val="134"/>
    </font>
    <font>
      <i/>
      <sz val="11"/>
      <color theme="4"/>
      <name val="Times New Roman"/>
      <charset val="134"/>
    </font>
    <font>
      <i/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22" applyNumberFormat="0" applyAlignment="0" applyProtection="0">
      <alignment vertical="center"/>
    </xf>
    <xf numFmtId="0" fontId="21" fillId="11" borderId="23" applyNumberFormat="0" applyAlignment="0" applyProtection="0">
      <alignment vertical="center"/>
    </xf>
    <xf numFmtId="0" fontId="22" fillId="11" borderId="22" applyNumberFormat="0" applyAlignment="0" applyProtection="0">
      <alignment vertical="center"/>
    </xf>
    <xf numFmtId="0" fontId="23" fillId="12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5" xfId="0" applyFont="1" applyBorder="1"/>
    <xf numFmtId="0" fontId="4" fillId="0" borderId="6" xfId="0" applyFont="1" applyBorder="1" applyAlignment="1">
      <alignment horizontal="left" vertical="top"/>
    </xf>
    <xf numFmtId="0" fontId="1" fillId="0" borderId="7" xfId="0" applyFont="1" applyBorder="1"/>
    <xf numFmtId="0" fontId="1" fillId="3" borderId="8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4" fillId="0" borderId="11" xfId="0" applyFont="1" applyBorder="1" applyAlignment="1">
      <alignment horizontal="left" vertical="top"/>
    </xf>
    <xf numFmtId="0" fontId="4" fillId="0" borderId="12" xfId="0" applyFont="1" applyBorder="1"/>
    <xf numFmtId="0" fontId="4" fillId="0" borderId="10" xfId="0" applyFont="1" applyBorder="1"/>
    <xf numFmtId="0" fontId="1" fillId="4" borderId="8" xfId="0" applyFont="1" applyFill="1" applyBorder="1"/>
    <xf numFmtId="0" fontId="4" fillId="0" borderId="7" xfId="0" applyFont="1" applyBorder="1"/>
    <xf numFmtId="0" fontId="1" fillId="5" borderId="8" xfId="0" applyFont="1" applyFill="1" applyBorder="1"/>
    <xf numFmtId="0" fontId="1" fillId="0" borderId="13" xfId="0" applyFont="1" applyBorder="1"/>
    <xf numFmtId="0" fontId="4" fillId="0" borderId="13" xfId="0" applyFont="1" applyBorder="1"/>
    <xf numFmtId="0" fontId="1" fillId="5" borderId="14" xfId="0" applyFont="1" applyFill="1" applyBorder="1"/>
    <xf numFmtId="0" fontId="4" fillId="0" borderId="15" xfId="0" applyFont="1" applyBorder="1"/>
    <xf numFmtId="0" fontId="1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/>
    <xf numFmtId="0" fontId="4" fillId="0" borderId="0" xfId="0" applyFont="1" applyBorder="1"/>
    <xf numFmtId="0" fontId="1" fillId="0" borderId="0" xfId="0" applyFont="1" applyBorder="1"/>
    <xf numFmtId="0" fontId="4" fillId="0" borderId="0" xfId="0" applyFont="1"/>
    <xf numFmtId="0" fontId="5" fillId="0" borderId="0" xfId="0" applyFont="1"/>
    <xf numFmtId="0" fontId="1" fillId="0" borderId="0" xfId="0" applyFont="1" applyFill="1" applyAlignment="1"/>
    <xf numFmtId="0" fontId="5" fillId="0" borderId="0" xfId="0" applyFont="1" applyFill="1" applyAlignment="1"/>
    <xf numFmtId="0" fontId="4" fillId="0" borderId="0" xfId="0" applyFont="1" applyFill="1" applyAlignment="1"/>
    <xf numFmtId="0" fontId="6" fillId="0" borderId="0" xfId="0" applyFont="1"/>
    <xf numFmtId="0" fontId="7" fillId="0" borderId="6" xfId="0" applyFont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5" fillId="6" borderId="7" xfId="0" applyFont="1" applyFill="1" applyBorder="1"/>
    <xf numFmtId="0" fontId="8" fillId="6" borderId="7" xfId="0" applyFont="1" applyFill="1" applyBorder="1"/>
    <xf numFmtId="0" fontId="4" fillId="6" borderId="7" xfId="0" applyFont="1" applyFill="1" applyBorder="1"/>
    <xf numFmtId="0" fontId="9" fillId="6" borderId="7" xfId="0" applyFont="1" applyFill="1" applyBorder="1"/>
    <xf numFmtId="49" fontId="4" fillId="6" borderId="7" xfId="0" applyNumberFormat="1" applyFont="1" applyFill="1" applyBorder="1" applyAlignment="1">
      <alignment horizontal="right"/>
    </xf>
    <xf numFmtId="0" fontId="5" fillId="7" borderId="7" xfId="0" applyFont="1" applyFill="1" applyBorder="1"/>
    <xf numFmtId="0" fontId="9" fillId="7" borderId="7" xfId="0" applyFont="1" applyFill="1" applyBorder="1"/>
    <xf numFmtId="49" fontId="4" fillId="7" borderId="7" xfId="0" applyNumberFormat="1" applyFont="1" applyFill="1" applyBorder="1" applyAlignment="1">
      <alignment horizontal="right"/>
    </xf>
    <xf numFmtId="0" fontId="4" fillId="7" borderId="7" xfId="0" applyFont="1" applyFill="1" applyBorder="1"/>
    <xf numFmtId="0" fontId="5" fillId="8" borderId="7" xfId="0" applyFont="1" applyFill="1" applyBorder="1"/>
    <xf numFmtId="0" fontId="8" fillId="8" borderId="7" xfId="0" applyFont="1" applyFill="1" applyBorder="1"/>
    <xf numFmtId="49" fontId="4" fillId="8" borderId="7" xfId="0" applyNumberFormat="1" applyFont="1" applyFill="1" applyBorder="1" applyAlignment="1">
      <alignment horizontal="right"/>
    </xf>
    <xf numFmtId="0" fontId="4" fillId="8" borderId="7" xfId="0" applyFont="1" applyFill="1" applyBorder="1"/>
    <xf numFmtId="0" fontId="10" fillId="8" borderId="7" xfId="0" applyFont="1" applyFill="1" applyBorder="1"/>
    <xf numFmtId="0" fontId="9" fillId="8" borderId="7" xfId="0" applyFont="1" applyFill="1" applyBorder="1"/>
    <xf numFmtId="0" fontId="11" fillId="8" borderId="7" xfId="0" applyFont="1" applyFill="1" applyBorder="1"/>
    <xf numFmtId="0" fontId="4" fillId="8" borderId="16" xfId="0" applyFont="1" applyFill="1" applyBorder="1"/>
    <xf numFmtId="0" fontId="9" fillId="8" borderId="16" xfId="0" applyFont="1" applyFill="1" applyBorder="1"/>
    <xf numFmtId="49" fontId="4" fillId="8" borderId="16" xfId="0" applyNumberFormat="1" applyFont="1" applyFill="1" applyBorder="1" applyAlignment="1">
      <alignment horizontal="right"/>
    </xf>
    <xf numFmtId="0" fontId="4" fillId="8" borderId="17" xfId="0" applyFont="1" applyFill="1" applyBorder="1"/>
    <xf numFmtId="0" fontId="4" fillId="8" borderId="7" xfId="0" applyFont="1" applyFill="1" applyBorder="1"/>
    <xf numFmtId="0" fontId="9" fillId="8" borderId="7" xfId="0" applyFont="1" applyFill="1" applyBorder="1"/>
    <xf numFmtId="49" fontId="4" fillId="8" borderId="7" xfId="0" applyNumberFormat="1" applyFont="1" applyFill="1" applyBorder="1" applyAlignment="1">
      <alignment horizontal="right"/>
    </xf>
    <xf numFmtId="0" fontId="4" fillId="8" borderId="18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bgColor rgb="FFFF0000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abSelected="1" zoomScale="82" zoomScaleNormal="82" workbookViewId="0">
      <selection activeCell="D59" sqref="D59"/>
    </sheetView>
  </sheetViews>
  <sheetFormatPr defaultColWidth="9.14285714285714" defaultRowHeight="15"/>
  <cols>
    <col min="1" max="1" width="14.0857142857143" style="30" customWidth="1"/>
    <col min="2" max="2" width="40.6285714285714" style="30" customWidth="1"/>
    <col min="3" max="3" width="10.6285714285714" style="30" customWidth="1"/>
    <col min="4" max="4" width="70.7238095238095" style="30" customWidth="1"/>
    <col min="5" max="5" width="69.5142857142857" style="30" customWidth="1"/>
    <col min="6" max="11" width="14.6285714285714" style="30" customWidth="1"/>
    <col min="12" max="32" width="9.08571428571429" style="30"/>
    <col min="33" max="16384" width="9.14285714285714" style="30"/>
  </cols>
  <sheetData>
    <row r="1" ht="18.75" spans="1:11">
      <c r="A1" s="35" t="s">
        <v>0</v>
      </c>
      <c r="C1" s="31"/>
    </row>
    <row r="2" ht="18.75" spans="1:11">
      <c r="A2" s="35" t="s">
        <v>1</v>
      </c>
    </row>
    <row r="3" ht="14.4" customHeight="1" spans="1:1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ht="50.15" customHeight="1" spans="1:11">
      <c r="A4" s="37" t="s">
        <v>3</v>
      </c>
      <c r="B4" s="37" t="s">
        <v>4</v>
      </c>
      <c r="C4" s="38" t="s">
        <v>5</v>
      </c>
      <c r="D4" s="37" t="s">
        <v>6</v>
      </c>
      <c r="E4" s="37" t="s">
        <v>7</v>
      </c>
      <c r="F4" s="37" t="s">
        <v>8</v>
      </c>
      <c r="G4" s="37" t="s">
        <v>9</v>
      </c>
      <c r="H4" s="37" t="s">
        <v>10</v>
      </c>
      <c r="I4" s="37" t="s">
        <v>9</v>
      </c>
      <c r="J4" s="37" t="s">
        <v>11</v>
      </c>
      <c r="K4" s="37" t="s">
        <v>12</v>
      </c>
    </row>
    <row r="5" spans="1:11">
      <c r="A5" s="39" t="s">
        <v>13</v>
      </c>
      <c r="B5" s="40" t="s">
        <v>14</v>
      </c>
      <c r="C5" s="41"/>
      <c r="D5" s="41"/>
      <c r="E5" s="41"/>
      <c r="F5" s="41"/>
      <c r="G5" s="41" t="str">
        <f>IF(F5="Minor",1,IF(F5="Moderate",2,IF(F5="Major",3,"")))</f>
        <v/>
      </c>
      <c r="H5" s="41"/>
      <c r="I5" s="41" t="str">
        <f>IF(H5="Unlikely",1,IF(H5="Possible",2,IF(H5="Likely",3,"")))</f>
        <v/>
      </c>
      <c r="J5" s="39"/>
      <c r="K5" s="39"/>
    </row>
    <row r="6" spans="1:11">
      <c r="A6" s="41"/>
      <c r="B6" s="42" t="s">
        <v>14</v>
      </c>
      <c r="C6" s="43"/>
      <c r="D6" s="41" t="s">
        <v>15</v>
      </c>
      <c r="E6" s="41" t="s">
        <v>16</v>
      </c>
      <c r="F6" s="41" t="s">
        <v>17</v>
      </c>
      <c r="G6" s="41">
        <v>3</v>
      </c>
      <c r="H6" s="41" t="s">
        <v>18</v>
      </c>
      <c r="I6" s="41">
        <f>IF(H6="Unlikely",1,IF(H6="Possible",2,IF(H6="Likely",3,"")))</f>
        <v>3</v>
      </c>
      <c r="J6" s="39">
        <f>(G6*I6)</f>
        <v>9</v>
      </c>
      <c r="K6" s="39" t="str">
        <f>IF(J6&lt;=3,"LOW",IF(J6&lt;=5,"MODERATE",IF(J6&lt;=9,"SIGNIFICANT","")))</f>
        <v>SIGNIFICANT</v>
      </c>
    </row>
    <row r="7" spans="1:11">
      <c r="A7" s="41"/>
      <c r="B7" s="42"/>
      <c r="C7" s="43"/>
      <c r="D7" s="41" t="s">
        <v>19</v>
      </c>
      <c r="E7" s="41" t="s">
        <v>20</v>
      </c>
      <c r="F7" s="41" t="s">
        <v>17</v>
      </c>
      <c r="G7" s="41">
        <f>IF(F7="Minor",1,IF(F7="Moderate",2,IF(F7="Major",3,"")))</f>
        <v>3</v>
      </c>
      <c r="H7" s="41" t="s">
        <v>21</v>
      </c>
      <c r="I7" s="41">
        <f>IF(H7="Unlikely",1,IF(H7="Possible",2,IF(H7="Likely",3,"")))</f>
        <v>2</v>
      </c>
      <c r="J7" s="39">
        <f>(G7*I7)</f>
        <v>6</v>
      </c>
      <c r="K7" s="39" t="str">
        <f>IF(J7&lt;=3,"LOW",IF(J7&lt;=5,"MODERATE",IF(J7&lt;=9,"SIGNIFICANT","")))</f>
        <v>SIGNIFICANT</v>
      </c>
    </row>
    <row r="8" spans="1:11">
      <c r="A8" s="41"/>
      <c r="B8" s="42"/>
      <c r="C8" s="43"/>
      <c r="D8" s="41" t="s">
        <v>22</v>
      </c>
      <c r="E8" s="41" t="s">
        <v>23</v>
      </c>
      <c r="F8" s="41" t="s">
        <v>17</v>
      </c>
      <c r="G8" s="41">
        <v>3</v>
      </c>
      <c r="H8" s="41" t="s">
        <v>21</v>
      </c>
      <c r="I8" s="41">
        <f>IF(H8="Unlikely",1,IF(H8="Possible",2,IF(H8="Likely",3,"")))</f>
        <v>2</v>
      </c>
      <c r="J8" s="39">
        <f>(G8*I8)</f>
        <v>6</v>
      </c>
      <c r="K8" s="39" t="str">
        <f>IF(J8&lt;=3,"LOW",IF(J8&lt;=5,"MODERATE",IF(J8&lt;=9,"SIGNIFICANT","")))</f>
        <v>SIGNIFICANT</v>
      </c>
    </row>
    <row r="9" spans="1:11">
      <c r="A9" s="41"/>
      <c r="B9" s="42"/>
      <c r="C9" s="43"/>
      <c r="D9" s="41" t="s">
        <v>24</v>
      </c>
      <c r="E9" s="41" t="s">
        <v>25</v>
      </c>
      <c r="F9" s="41" t="s">
        <v>26</v>
      </c>
      <c r="G9" s="41">
        <f>IF(F9="Minor",1,IF(F9="Moderate",2,IF(F9="Major",3,"")))</f>
        <v>2</v>
      </c>
      <c r="H9" s="41" t="s">
        <v>18</v>
      </c>
      <c r="I9" s="41">
        <f>IF(H9="Unlikely",1,IF(H9="Possible",2,IF(H9="Likely",3,"")))</f>
        <v>3</v>
      </c>
      <c r="J9" s="39">
        <f>(G9*I9)</f>
        <v>6</v>
      </c>
      <c r="K9" s="39" t="str">
        <f>IF(J9&lt;=3,"LOW",IF(J9&lt;=5,"MODERATE",IF(J9&lt;=9,"SIGNIFICANT","")))</f>
        <v>SIGNIFICANT</v>
      </c>
    </row>
    <row r="10" spans="1:11">
      <c r="A10" s="41"/>
      <c r="B10" s="42"/>
      <c r="C10" s="43"/>
      <c r="D10" s="41"/>
      <c r="E10" s="41"/>
      <c r="F10" s="41" t="s">
        <v>27</v>
      </c>
      <c r="G10" s="41">
        <f>IF(F10="Minor",1,IF(F10="Moderate",2,IF(F10="Major",3,"")))</f>
        <v>1</v>
      </c>
      <c r="H10" s="41" t="s">
        <v>28</v>
      </c>
      <c r="I10" s="41">
        <f>IF(H10="Unlikely",1,IF(H10="Possible",2,IF(H10="Likely",3,"")))</f>
        <v>1</v>
      </c>
      <c r="J10" s="39">
        <f>(G10*I10)</f>
        <v>1</v>
      </c>
      <c r="K10" s="39" t="str">
        <f>IF(J10&lt;=3,"LOW",IF(J10&lt;=5,"MODERATE",IF(J10&lt;=9,"SIGNIFICANT","")))</f>
        <v>LOW</v>
      </c>
    </row>
    <row r="11" spans="1:11">
      <c r="A11" s="41"/>
      <c r="B11" s="42"/>
      <c r="C11" s="43"/>
      <c r="D11" s="41"/>
      <c r="E11" s="41"/>
      <c r="F11" s="41"/>
      <c r="G11" s="41"/>
      <c r="H11" s="41"/>
      <c r="I11" s="41"/>
      <c r="J11" s="39"/>
      <c r="K11" s="39"/>
    </row>
    <row r="12" spans="1:11">
      <c r="A12" s="41"/>
      <c r="B12" s="42"/>
      <c r="C12" s="43"/>
      <c r="D12" s="41"/>
      <c r="E12" s="41"/>
      <c r="F12" s="41"/>
      <c r="G12" s="41"/>
      <c r="H12" s="41"/>
      <c r="I12" s="41"/>
      <c r="J12" s="39"/>
      <c r="K12" s="39"/>
    </row>
    <row r="13" spans="1:11">
      <c r="A13" s="41"/>
      <c r="B13" s="40" t="s">
        <v>29</v>
      </c>
      <c r="C13" s="43"/>
      <c r="D13" s="41"/>
      <c r="E13" s="41"/>
      <c r="F13" s="41" t="s">
        <v>26</v>
      </c>
      <c r="G13" s="41">
        <f>IF(F13="Minor",1,IF(F13="Moderate",2,IF(F13="Major",3,"")))</f>
        <v>2</v>
      </c>
      <c r="H13" s="41" t="s">
        <v>28</v>
      </c>
      <c r="I13" s="41">
        <f>IF(H13="Unlikely",1,IF(H13="Possible",2,IF(H13="Likely",3,"")))</f>
        <v>1</v>
      </c>
      <c r="J13" s="39">
        <f>(G13*I13)</f>
        <v>2</v>
      </c>
      <c r="K13" s="39" t="str">
        <f>IF(J13&lt;=3,"LOW",IF(J13&lt;=5,"MODERATE",IF(J13&lt;=9,"SIGNIFICANT","")))</f>
        <v>LOW</v>
      </c>
    </row>
    <row r="14" spans="1:11">
      <c r="A14" s="41"/>
      <c r="B14" s="42" t="s">
        <v>30</v>
      </c>
      <c r="C14" s="43"/>
      <c r="D14" s="41" t="s">
        <v>31</v>
      </c>
      <c r="E14" s="41" t="s">
        <v>32</v>
      </c>
      <c r="F14" s="41" t="s">
        <v>17</v>
      </c>
      <c r="G14" s="41">
        <f>IF(F14="Minor",1,IF(F14="Moderate",2,IF(F14="Major",3,"")))</f>
        <v>3</v>
      </c>
      <c r="H14" s="41" t="s">
        <v>18</v>
      </c>
      <c r="I14" s="41">
        <f>IF(H14="Unlikely",1,IF(H14="Possible",2,IF(H14="Likely",3,"")))</f>
        <v>3</v>
      </c>
      <c r="J14" s="39">
        <f>(G14*I14)</f>
        <v>9</v>
      </c>
      <c r="K14" s="39" t="str">
        <f>IF(J14&lt;=3,"LOW",IF(J14&lt;=5,"MODERATE",IF(J14&lt;=9,"SIGNIFICANT","")))</f>
        <v>SIGNIFICANT</v>
      </c>
    </row>
    <row r="15" spans="1:11">
      <c r="A15" s="41"/>
      <c r="B15" s="42"/>
      <c r="C15" s="43"/>
      <c r="D15" s="41"/>
      <c r="E15" s="41"/>
      <c r="F15" s="41" t="s">
        <v>27</v>
      </c>
      <c r="G15" s="41">
        <f>IF(F15="Minor",1,IF(F15="Moderate",2,IF(F15="Major",3,"")))</f>
        <v>1</v>
      </c>
      <c r="H15" s="41" t="s">
        <v>21</v>
      </c>
      <c r="I15" s="41">
        <f>IF(H15="Unlikely",1,IF(H15="Possible",2,IF(H15="Likely",3,"")))</f>
        <v>2</v>
      </c>
      <c r="J15" s="39">
        <f>(G15*I15)</f>
        <v>2</v>
      </c>
      <c r="K15" s="39" t="str">
        <f>IF(J15&lt;=3,"LOW",IF(J15&lt;=5,"MODERATE",IF(J15&lt;=9,"SIGNIFICANT","")))</f>
        <v>LOW</v>
      </c>
    </row>
    <row r="16" spans="1:11">
      <c r="A16" s="41"/>
      <c r="B16" s="42"/>
      <c r="C16" s="43"/>
      <c r="D16" s="41"/>
      <c r="E16" s="41"/>
      <c r="F16" s="41" t="s">
        <v>27</v>
      </c>
      <c r="G16" s="41">
        <f>IF(F16="Minor",1,IF(F16="Moderate",2,IF(F16="Major",3,"")))</f>
        <v>1</v>
      </c>
      <c r="H16" s="41" t="s">
        <v>28</v>
      </c>
      <c r="I16" s="41">
        <f>IF(H16="Unlikely",1,IF(H16="Possible",2,IF(H16="Likely",3,"")))</f>
        <v>1</v>
      </c>
      <c r="J16" s="39">
        <f>(G16*I16)</f>
        <v>1</v>
      </c>
      <c r="K16" s="39" t="str">
        <f>IF(J16&lt;=3,"LOW",IF(J16&lt;=5,"MODERATE",IF(J16&lt;=9,"SIGNIFICANT","")))</f>
        <v>LOW</v>
      </c>
    </row>
    <row r="17" spans="1:11">
      <c r="A17" s="41"/>
      <c r="B17" s="42"/>
      <c r="C17" s="43"/>
      <c r="D17" s="41"/>
      <c r="E17" s="41"/>
      <c r="F17" s="41" t="s">
        <v>26</v>
      </c>
      <c r="G17" s="41">
        <f>IF(F17="Minor",1,IF(F17="Moderate",2,IF(F17="Major",3,"")))</f>
        <v>2</v>
      </c>
      <c r="H17" s="41" t="s">
        <v>28</v>
      </c>
      <c r="I17" s="41">
        <f>IF(H17="Unlikely",1,IF(H17="Possible",2,IF(H17="Likely",3,"")))</f>
        <v>1</v>
      </c>
      <c r="J17" s="39">
        <f>(G17*I17)</f>
        <v>2</v>
      </c>
      <c r="K17" s="39" t="str">
        <f>IF(J17&lt;=3,"LOW",IF(J17&lt;=5,"MODERATE",IF(J17&lt;=9,"SIGNIFICANT","")))</f>
        <v>LOW</v>
      </c>
    </row>
    <row r="18" spans="1:11">
      <c r="A18" s="41"/>
      <c r="B18" s="42"/>
      <c r="C18" s="43"/>
      <c r="D18" s="41"/>
      <c r="E18" s="41"/>
      <c r="F18" s="41" t="s">
        <v>17</v>
      </c>
      <c r="G18" s="41">
        <f>IF(F18="Minor",1,IF(F18="Moderate",2,IF(F18="Major",3,"")))</f>
        <v>3</v>
      </c>
      <c r="H18" s="41" t="s">
        <v>18</v>
      </c>
      <c r="I18" s="41">
        <f>IF(H18="Unlikely",1,IF(H18="Possible",2,IF(H18="Likely",3,"")))</f>
        <v>3</v>
      </c>
      <c r="J18" s="39">
        <f>(G18*I18)</f>
        <v>9</v>
      </c>
      <c r="K18" s="39" t="str">
        <f>IF(J18&lt;=3,"LOW",IF(J18&lt;=5,"MODERATE",IF(J18&lt;=9,"SIGNIFICANT","")))</f>
        <v>SIGNIFICANT</v>
      </c>
    </row>
    <row r="19" spans="1:11">
      <c r="A19" s="41"/>
      <c r="B19" s="42"/>
      <c r="C19" s="43"/>
      <c r="D19" s="41"/>
      <c r="E19" s="41"/>
      <c r="F19" s="41" t="s">
        <v>17</v>
      </c>
      <c r="G19" s="41">
        <f>IF(F19="Minor",1,IF(F19="Moderate",2,IF(F19="Major",3,"")))</f>
        <v>3</v>
      </c>
      <c r="H19" s="41" t="s">
        <v>18</v>
      </c>
      <c r="I19" s="41">
        <f>IF(H19="Unlikely",1,IF(H19="Possible",2,IF(H19="Likely",3,"")))</f>
        <v>3</v>
      </c>
      <c r="J19" s="39">
        <f>(G19*I19)</f>
        <v>9</v>
      </c>
      <c r="K19" s="39" t="str">
        <f>IF(J19&lt;=3,"LOW",IF(J19&lt;=5,"MODERATE",IF(J19&lt;=9,"SIGNIFICANT","")))</f>
        <v>SIGNIFICANT</v>
      </c>
    </row>
    <row r="20" spans="1:11">
      <c r="A20" s="44" t="s">
        <v>33</v>
      </c>
      <c r="B20" s="45"/>
      <c r="C20" s="46"/>
      <c r="D20" s="47" t="s">
        <v>34</v>
      </c>
      <c r="E20" s="47" t="s">
        <v>35</v>
      </c>
      <c r="F20" s="47" t="s">
        <v>26</v>
      </c>
      <c r="G20" s="47">
        <f>IF(F20="Minor",1,IF(F20="Moderate",2,IF(F20="Major",3,"")))</f>
        <v>2</v>
      </c>
      <c r="H20" s="47" t="s">
        <v>21</v>
      </c>
      <c r="I20" s="47">
        <f>IF(H20="Unlikely",1,IF(H20="Possible",2,IF(H20="Likely",3,"")))</f>
        <v>2</v>
      </c>
      <c r="J20" s="44">
        <f>(G20*I20)</f>
        <v>4</v>
      </c>
      <c r="K20" s="44" t="str">
        <f>IF(J20&lt;=3,"LOW",IF(J20&lt;=5,"MODERATE",IF(J20&lt;=9,"SIGNIFICANT","")))</f>
        <v>MODERATE</v>
      </c>
    </row>
    <row r="21" spans="1:11">
      <c r="A21" s="44"/>
      <c r="B21" s="45"/>
      <c r="C21" s="46"/>
      <c r="D21" s="47" t="s">
        <v>36</v>
      </c>
      <c r="E21" s="47" t="s">
        <v>37</v>
      </c>
      <c r="F21" s="47" t="s">
        <v>26</v>
      </c>
      <c r="G21" s="47">
        <f>IF(F21="Minor",1,IF(F21="Moderate",2,IF(F21="Major",3,"")))</f>
        <v>2</v>
      </c>
      <c r="H21" s="47" t="s">
        <v>28</v>
      </c>
      <c r="I21" s="47">
        <f>IF(H21="Unlikely",1,IF(H21="Possible",2,IF(H21="Likely",3,"")))</f>
        <v>1</v>
      </c>
      <c r="J21" s="44">
        <f>(G21*I21)</f>
        <v>2</v>
      </c>
      <c r="K21" s="44" t="str">
        <f>IF(J21&lt;=3,"LOW",IF(J21&lt;=5,"MODERATE",IF(J21&lt;=9,"SIGNIFICANT","")))</f>
        <v>LOW</v>
      </c>
    </row>
    <row r="22" spans="1:11">
      <c r="A22" s="47"/>
      <c r="B22" s="45"/>
      <c r="C22" s="46"/>
      <c r="D22" s="47" t="s">
        <v>38</v>
      </c>
      <c r="E22" s="47" t="s">
        <v>39</v>
      </c>
      <c r="F22" s="47" t="s">
        <v>27</v>
      </c>
      <c r="G22" s="47">
        <f>IF(F22="Minor",1,IF(F22="Moderate",2,IF(F22="Major",3,"")))</f>
        <v>1</v>
      </c>
      <c r="H22" s="47" t="s">
        <v>21</v>
      </c>
      <c r="I22" s="47">
        <f>IF(H22="Unlikely",1,IF(H22="Possible",2,IF(H22="Likely",3,"")))</f>
        <v>2</v>
      </c>
      <c r="J22" s="44">
        <f>(G22*I22)</f>
        <v>2</v>
      </c>
      <c r="K22" s="44" t="str">
        <f>IF(J22&lt;=3,"LOW",IF(J22&lt;=5,"MODERATE",IF(J22&lt;=9,"SIGNIFICANT","")))</f>
        <v>LOW</v>
      </c>
    </row>
    <row r="23" spans="1:11">
      <c r="A23" s="47"/>
      <c r="B23" s="45"/>
      <c r="C23" s="46"/>
      <c r="D23" s="47"/>
      <c r="E23" s="47"/>
      <c r="F23" s="47" t="s">
        <v>17</v>
      </c>
      <c r="G23" s="47">
        <f>IF(F23="Minor",1,IF(F23="Moderate",2,IF(F23="Major",3,"")))</f>
        <v>3</v>
      </c>
      <c r="H23" s="47" t="s">
        <v>28</v>
      </c>
      <c r="I23" s="47">
        <f>IF(H23="Unlikely",1,IF(H23="Possible",2,IF(H23="Likely",3,"")))</f>
        <v>1</v>
      </c>
      <c r="J23" s="44">
        <f>(G23*I23)</f>
        <v>3</v>
      </c>
      <c r="K23" s="44" t="str">
        <f>IF(J23&lt;=3,"LOW",IF(J23&lt;=5,"MODERATE",IF(J23&lt;=9,"SIGNIFICANT","")))</f>
        <v>LOW</v>
      </c>
    </row>
    <row r="24" spans="1:11">
      <c r="A24" s="47"/>
      <c r="B24" s="45"/>
      <c r="C24" s="46"/>
      <c r="D24" s="47"/>
      <c r="E24" s="47"/>
      <c r="F24" s="47" t="s">
        <v>17</v>
      </c>
      <c r="G24" s="47">
        <f>IF(F24="Minor",1,IF(F24="Moderate",2,IF(F24="Major",3,"")))</f>
        <v>3</v>
      </c>
      <c r="H24" s="47" t="s">
        <v>21</v>
      </c>
      <c r="I24" s="47">
        <f>IF(H24="Unlikely",1,IF(H24="Possible",2,IF(H24="Likely",3,"")))</f>
        <v>2</v>
      </c>
      <c r="J24" s="44">
        <f>(G24*I24)</f>
        <v>6</v>
      </c>
      <c r="K24" s="44" t="str">
        <f>IF(J24&lt;=3,"LOW",IF(J24&lt;=5,"MODERATE",IF(J24&lt;=9,"SIGNIFICANT","")))</f>
        <v>SIGNIFICANT</v>
      </c>
    </row>
    <row r="25" spans="1:11">
      <c r="A25" s="47"/>
      <c r="B25" s="45"/>
      <c r="C25" s="46"/>
      <c r="D25" s="47"/>
      <c r="E25" s="47"/>
      <c r="F25" s="47" t="s">
        <v>17</v>
      </c>
      <c r="G25" s="47">
        <f t="shared" ref="G25:G47" si="0">IF(F25="Minor",1,IF(F25="Moderate",2,IF(F25="Major",3,"")))</f>
        <v>3</v>
      </c>
      <c r="H25" s="47" t="s">
        <v>21</v>
      </c>
      <c r="I25" s="47">
        <f>IF(H25="Unlikely",1,IF(H25="Possible",2,IF(H25="Likely",3,"")))</f>
        <v>2</v>
      </c>
      <c r="J25" s="44">
        <f t="shared" ref="J25:J47" si="1">(G25*I25)</f>
        <v>6</v>
      </c>
      <c r="K25" s="44" t="str">
        <f>IF(J25&lt;=3,"LOW",IF(J25&lt;=5,"MODERATE",IF(J25&lt;=9,"SIGNIFICANT","")))</f>
        <v>SIGNIFICANT</v>
      </c>
    </row>
    <row r="26" spans="1:11">
      <c r="A26" s="39" t="s">
        <v>40</v>
      </c>
      <c r="B26" s="42"/>
      <c r="C26" s="43"/>
      <c r="D26" s="41" t="s">
        <v>41</v>
      </c>
      <c r="E26" s="41" t="s">
        <v>42</v>
      </c>
      <c r="F26" s="41" t="s">
        <v>17</v>
      </c>
      <c r="G26" s="41">
        <f t="shared" si="0"/>
        <v>3</v>
      </c>
      <c r="H26" s="41" t="s">
        <v>21</v>
      </c>
      <c r="I26" s="41">
        <f>IF(H26="Unlikely",1,IF(H26="Possible",2,IF(H26="Likely",3,"")))</f>
        <v>2</v>
      </c>
      <c r="J26" s="39">
        <f t="shared" si="1"/>
        <v>6</v>
      </c>
      <c r="K26" s="39" t="str">
        <f>IF(J26&lt;=3,"LOW",IF(J26&lt;=5,"MODERATE",IF(J26&lt;=9,"SIGNIFICANT","")))</f>
        <v>SIGNIFICANT</v>
      </c>
    </row>
    <row r="27" customHeight="1" spans="1:11">
      <c r="A27" s="41"/>
      <c r="B27" s="42"/>
      <c r="C27" s="43"/>
      <c r="D27" s="41"/>
      <c r="E27" s="41"/>
      <c r="F27" s="41" t="s">
        <v>17</v>
      </c>
      <c r="G27" s="41">
        <f t="shared" si="0"/>
        <v>3</v>
      </c>
      <c r="H27" s="41" t="s">
        <v>21</v>
      </c>
      <c r="I27" s="41">
        <f>IF(H27="Unlikely",1,IF(H27="Possible",2,IF(H27="Likely",3,"")))</f>
        <v>2</v>
      </c>
      <c r="J27" s="39">
        <f t="shared" si="1"/>
        <v>6</v>
      </c>
      <c r="K27" s="39" t="str">
        <f>IF(J27&lt;=3,"LOW",IF(J27&lt;=5,"MODERATE",IF(J27&lt;=9,"SIGNIFICANT","")))</f>
        <v>SIGNIFICANT</v>
      </c>
    </row>
    <row r="28" spans="1:11">
      <c r="A28" s="41"/>
      <c r="B28" s="42"/>
      <c r="C28" s="43"/>
      <c r="D28" s="41"/>
      <c r="E28" s="41"/>
      <c r="F28" s="41" t="s">
        <v>17</v>
      </c>
      <c r="G28" s="41">
        <f>IF(F28="Minor",1,IF(F28="Moderate",2,IF(F28="Major",3,"")))</f>
        <v>3</v>
      </c>
      <c r="H28" s="41" t="s">
        <v>21</v>
      </c>
      <c r="I28" s="41">
        <f>IF(H28="Unlikely",1,IF(H28="Possible",2,IF(H28="Likely",3,"")))</f>
        <v>2</v>
      </c>
      <c r="J28" s="39">
        <f t="shared" si="1"/>
        <v>6</v>
      </c>
      <c r="K28" s="39" t="str">
        <f>IF(J28&lt;=3,"LOW",IF(J28&lt;=5,"MODERATE",IF(J28&lt;=9,"SIGNIFICANT","")))</f>
        <v>SIGNIFICANT</v>
      </c>
    </row>
    <row r="29" spans="1:11">
      <c r="A29" s="41"/>
      <c r="B29" s="42"/>
      <c r="C29" s="43"/>
      <c r="D29" s="41"/>
      <c r="E29" s="41"/>
      <c r="F29" s="41" t="s">
        <v>17</v>
      </c>
      <c r="G29" s="41">
        <f>IF(F29="Minor",1,IF(F29="Moderate",2,IF(F29="Major",3,"")))</f>
        <v>3</v>
      </c>
      <c r="H29" s="41" t="s">
        <v>21</v>
      </c>
      <c r="I29" s="41">
        <f>IF(H29="Unlikely",1,IF(H29="Possible",2,IF(H29="Likely",3,"")))</f>
        <v>2</v>
      </c>
      <c r="J29" s="39">
        <f>(G29*I29)</f>
        <v>6</v>
      </c>
      <c r="K29" s="39" t="str">
        <f>IF(J29&lt;=3,"LOW",IF(J29&lt;=5,"MODERATE",IF(J29&lt;=9,"SIGNIFICANT","")))</f>
        <v>SIGNIFICANT</v>
      </c>
    </row>
    <row r="30" spans="1:11">
      <c r="A30" s="41"/>
      <c r="B30" s="42"/>
      <c r="C30" s="43"/>
      <c r="D30" s="41"/>
      <c r="E30" s="41"/>
      <c r="F30" s="41" t="s">
        <v>27</v>
      </c>
      <c r="G30" s="41">
        <f>IF(F30="Minor",1,IF(F30="Moderate",2,IF(F30="Major",3,"")))</f>
        <v>1</v>
      </c>
      <c r="H30" s="41" t="s">
        <v>28</v>
      </c>
      <c r="I30" s="41">
        <f>IF(H30="Unlikely",1,IF(H30="Possible",2,IF(H30="Likely",3,"")))</f>
        <v>1</v>
      </c>
      <c r="J30" s="39">
        <f>(G30*I30)</f>
        <v>1</v>
      </c>
      <c r="K30" s="39" t="str">
        <f>IF(J30&lt;=3,"LOW",IF(J30&lt;=5,"MODERATE",IF(J30&lt;=9,"SIGNIFICANT","")))</f>
        <v>LOW</v>
      </c>
    </row>
    <row r="31" spans="1:11">
      <c r="A31" s="44" t="s">
        <v>43</v>
      </c>
      <c r="B31" s="45"/>
      <c r="C31" s="46"/>
      <c r="D31" s="47" t="s">
        <v>44</v>
      </c>
      <c r="E31" s="47" t="s">
        <v>45</v>
      </c>
      <c r="F31" s="47" t="s">
        <v>17</v>
      </c>
      <c r="G31" s="47">
        <f>IF(F31="Minor",1,IF(F31="Moderate",2,IF(F31="Major",3,"")))</f>
        <v>3</v>
      </c>
      <c r="H31" s="47" t="s">
        <v>18</v>
      </c>
      <c r="I31" s="47">
        <f>IF(H31="Unlikely",1,IF(H31="Possible",2,IF(H31="Likely",3,"")))</f>
        <v>3</v>
      </c>
      <c r="J31" s="44">
        <f>(G31*I31)</f>
        <v>9</v>
      </c>
      <c r="K31" s="44" t="str">
        <f>IF(J31&lt;=3,"LOW",IF(J31&lt;=5,"MODERATE",IF(J31&lt;=9,"SIGNIFICANT","")))</f>
        <v>SIGNIFICANT</v>
      </c>
    </row>
    <row r="32" spans="1:11">
      <c r="A32" s="47"/>
      <c r="B32" s="45"/>
      <c r="C32" s="46"/>
      <c r="D32" s="47" t="s">
        <v>46</v>
      </c>
      <c r="E32" s="47" t="s">
        <v>47</v>
      </c>
      <c r="F32" s="47" t="s">
        <v>17</v>
      </c>
      <c r="G32" s="47">
        <v>3</v>
      </c>
      <c r="H32" s="47" t="s">
        <v>21</v>
      </c>
      <c r="I32" s="47">
        <v>2</v>
      </c>
      <c r="J32" s="44">
        <v>6</v>
      </c>
      <c r="K32" s="44" t="str">
        <f>IF(J32&lt;=3,"LOW",IF(J32&lt;=5,"MODERATE",IF(J32&lt;=9,"SIGNIFICANT","")))</f>
        <v>SIGNIFICANT</v>
      </c>
    </row>
    <row r="33" spans="1:11">
      <c r="A33" s="47"/>
      <c r="B33" s="45"/>
      <c r="C33" s="46"/>
      <c r="D33" s="47" t="s">
        <v>48</v>
      </c>
      <c r="E33" s="47" t="s">
        <v>49</v>
      </c>
      <c r="F33" s="47" t="s">
        <v>17</v>
      </c>
      <c r="G33" s="47">
        <v>3</v>
      </c>
      <c r="H33" s="47" t="s">
        <v>21</v>
      </c>
      <c r="I33" s="47">
        <v>2</v>
      </c>
      <c r="J33" s="44">
        <v>6</v>
      </c>
      <c r="K33" s="44" t="str">
        <f>IF(J33&lt;=3,"LOW",IF(J33&lt;=5,"MODERATE",IF(J33&lt;=9,"SIGNIFICANT","")))</f>
        <v>SIGNIFICANT</v>
      </c>
    </row>
    <row r="34" spans="1:11">
      <c r="A34" s="47"/>
      <c r="B34" s="45"/>
      <c r="C34" s="46"/>
      <c r="D34" s="47" t="s">
        <v>50</v>
      </c>
      <c r="E34" s="47" t="s">
        <v>51</v>
      </c>
      <c r="F34" s="47" t="s">
        <v>17</v>
      </c>
      <c r="G34" s="47">
        <f>IF(F34="Minor",1,IF(F34="Moderate",2,IF(F34="Major",3,"")))</f>
        <v>3</v>
      </c>
      <c r="H34" s="47" t="s">
        <v>21</v>
      </c>
      <c r="I34" s="47">
        <f>IF(H34="Unlikely",1,IF(H34="Possible",2,IF(H34="Likely",3,"")))</f>
        <v>2</v>
      </c>
      <c r="J34" s="44">
        <f>(G34*I34)</f>
        <v>6</v>
      </c>
      <c r="K34" s="44" t="str">
        <f>IF(J34&lt;=3,"LOW",IF(J34&lt;=5,"MODERATE",IF(J34&lt;=9,"SIGNIFICANT","")))</f>
        <v>SIGNIFICANT</v>
      </c>
    </row>
    <row r="35" spans="1:11">
      <c r="A35" s="47"/>
      <c r="B35" s="45"/>
      <c r="C35" s="46"/>
      <c r="D35" s="47" t="s">
        <v>52</v>
      </c>
      <c r="E35" s="47" t="s">
        <v>53</v>
      </c>
      <c r="F35" s="47" t="s">
        <v>26</v>
      </c>
      <c r="G35" s="47">
        <f>IF(F35="Minor",1,IF(F35="Moderate",2,IF(F35="Major",3,"")))</f>
        <v>2</v>
      </c>
      <c r="H35" s="47" t="s">
        <v>21</v>
      </c>
      <c r="I35" s="47">
        <f>IF(H35="Unlikely",1,IF(H35="Possible",2,IF(H35="Likely",3,"")))</f>
        <v>2</v>
      </c>
      <c r="J35" s="44">
        <f>(G35*I35)</f>
        <v>4</v>
      </c>
      <c r="K35" s="44" t="str">
        <f t="shared" ref="K35:K49" si="2">IF(J35&lt;=3,"LOW",IF(J35&lt;=5,"MODERATE",IF(J35&lt;=9,"SIGNIFICANT","")))</f>
        <v>MODERATE</v>
      </c>
    </row>
    <row r="36" spans="1:11">
      <c r="A36" s="48" t="s">
        <v>54</v>
      </c>
      <c r="B36" s="49" t="s">
        <v>55</v>
      </c>
      <c r="C36" s="50"/>
      <c r="D36" s="51"/>
      <c r="E36" s="51"/>
      <c r="F36" s="51"/>
      <c r="G36" s="51" t="str">
        <f>IF(F36="Minor",1,IF(F36="Moderate",2,IF(F36="Major",3,"")))</f>
        <v/>
      </c>
      <c r="H36" s="51"/>
      <c r="I36" s="51" t="str">
        <f>IF(H36="Unlikely",1,IF(H36="Possible",2,IF(H36="Likely",3,"")))</f>
        <v/>
      </c>
      <c r="J36" s="48"/>
      <c r="K36" s="48"/>
    </row>
    <row r="37" spans="1:11">
      <c r="A37" s="51"/>
      <c r="B37" s="52" t="s">
        <v>56</v>
      </c>
      <c r="C37" s="50"/>
      <c r="D37" s="51"/>
      <c r="E37" s="51"/>
      <c r="F37" s="51"/>
      <c r="G37" s="51" t="str">
        <f>IF(F37="Minor",1,IF(F37="Moderate",2,IF(F37="Major",3,"")))</f>
        <v/>
      </c>
      <c r="H37" s="51"/>
      <c r="I37" s="51" t="str">
        <f>IF(H37="Unlikely",1,IF(H37="Possible",2,IF(H37="Likely",3,"")))</f>
        <v/>
      </c>
      <c r="J37" s="48"/>
      <c r="K37" s="48"/>
    </row>
    <row r="38" spans="1:11">
      <c r="A38" s="51"/>
      <c r="B38" s="53" t="s">
        <v>57</v>
      </c>
      <c r="C38" s="50"/>
      <c r="D38" s="51" t="s">
        <v>58</v>
      </c>
      <c r="E38" s="51" t="s">
        <v>59</v>
      </c>
      <c r="F38" s="51" t="s">
        <v>26</v>
      </c>
      <c r="G38" s="51">
        <f>IF(F38="Minor",1,IF(F38="Moderate",2,IF(F38="Major",3,"")))</f>
        <v>2</v>
      </c>
      <c r="H38" s="51" t="s">
        <v>21</v>
      </c>
      <c r="I38" s="51">
        <f>IF(H38="Unlikely",1,IF(H38="Possible",2,IF(H38="Likely",3,"")))</f>
        <v>2</v>
      </c>
      <c r="J38" s="48">
        <f>(G38*I38)</f>
        <v>4</v>
      </c>
      <c r="K38" s="48" t="str">
        <f t="shared" si="2"/>
        <v>MODERATE</v>
      </c>
    </row>
    <row r="39" spans="1:11">
      <c r="A39" s="51"/>
      <c r="B39" s="53" t="s">
        <v>60</v>
      </c>
      <c r="C39" s="50"/>
      <c r="D39" s="51" t="s">
        <v>61</v>
      </c>
      <c r="E39" s="51" t="s">
        <v>62</v>
      </c>
      <c r="F39" s="51" t="s">
        <v>17</v>
      </c>
      <c r="G39" s="51">
        <f>IF(F39="Minor",1,IF(F39="Moderate",2,IF(F39="Major",3,"")))</f>
        <v>3</v>
      </c>
      <c r="H39" s="51" t="s">
        <v>21</v>
      </c>
      <c r="I39" s="51">
        <f>IF(H39="Unlikely",1,IF(H39="Possible",2,IF(H39="Likely",3,"")))</f>
        <v>2</v>
      </c>
      <c r="J39" s="48">
        <f>(G39*I39)</f>
        <v>6</v>
      </c>
      <c r="K39" s="48" t="str">
        <f t="shared" si="2"/>
        <v>SIGNIFICANT</v>
      </c>
    </row>
    <row r="40" spans="1:11">
      <c r="A40" s="51"/>
      <c r="B40" s="53"/>
      <c r="C40" s="50"/>
      <c r="D40" s="51"/>
      <c r="E40" s="51"/>
      <c r="F40" s="51" t="s">
        <v>27</v>
      </c>
      <c r="G40" s="51">
        <f>IF(F40="Minor",1,IF(F40="Moderate",2,IF(F40="Major",3,"")))</f>
        <v>1</v>
      </c>
      <c r="H40" s="51" t="s">
        <v>28</v>
      </c>
      <c r="I40" s="51">
        <f>IF(H40="Unlikely",1,IF(H40="Possible",2,IF(H40="Likely",3,"")))</f>
        <v>1</v>
      </c>
      <c r="J40" s="48">
        <f>(G40*I40)</f>
        <v>1</v>
      </c>
      <c r="K40" s="48" t="str">
        <f t="shared" si="2"/>
        <v>LOW</v>
      </c>
    </row>
    <row r="41" spans="1:11">
      <c r="A41" s="51"/>
      <c r="B41" s="52" t="s">
        <v>63</v>
      </c>
      <c r="C41" s="50"/>
      <c r="D41" s="51"/>
      <c r="E41" s="51"/>
      <c r="F41" s="51"/>
      <c r="G41" s="51" t="str">
        <f>IF(F41="Minor",1,IF(F41="Moderate",2,IF(F41="Major",3,"")))</f>
        <v/>
      </c>
      <c r="H41" s="51"/>
      <c r="I41" s="51" t="str">
        <f>IF(H41="Unlikely",1,IF(H41="Possible",2,IF(H41="Likely",3,"")))</f>
        <v/>
      </c>
      <c r="J41" s="48"/>
      <c r="K41" s="48"/>
    </row>
    <row r="42" spans="1:11">
      <c r="A42" s="51"/>
      <c r="B42" s="53" t="s">
        <v>64</v>
      </c>
      <c r="C42" s="50"/>
      <c r="D42" s="51" t="s">
        <v>65</v>
      </c>
      <c r="E42" s="51" t="s">
        <v>66</v>
      </c>
      <c r="F42" s="51" t="s">
        <v>17</v>
      </c>
      <c r="G42" s="51">
        <f>IF(F42="Minor",1,IF(F42="Moderate",2,IF(F42="Major",3,"")))</f>
        <v>3</v>
      </c>
      <c r="H42" s="51" t="s">
        <v>28</v>
      </c>
      <c r="I42" s="51">
        <f>IF(H42="Unlikely",1,IF(H42="Possible",2,IF(H42="Likely",3,"")))</f>
        <v>1</v>
      </c>
      <c r="J42" s="48">
        <f>(G42*I42)</f>
        <v>3</v>
      </c>
      <c r="K42" s="48" t="str">
        <f t="shared" si="2"/>
        <v>LOW</v>
      </c>
    </row>
    <row r="43" spans="1:11">
      <c r="A43" s="51"/>
      <c r="B43" s="53" t="s">
        <v>67</v>
      </c>
      <c r="C43" s="50"/>
      <c r="D43" s="51" t="s">
        <v>68</v>
      </c>
      <c r="E43" s="51" t="s">
        <v>69</v>
      </c>
      <c r="F43" s="51" t="s">
        <v>17</v>
      </c>
      <c r="G43" s="51">
        <f>IF(F43="Minor",1,IF(F43="Moderate",2,IF(F43="Major",3,"")))</f>
        <v>3</v>
      </c>
      <c r="H43" s="51" t="s">
        <v>21</v>
      </c>
      <c r="I43" s="51">
        <f>IF(H43="Unlikely",1,IF(H43="Possible",2,IF(H43="Likely",3,"")))</f>
        <v>2</v>
      </c>
      <c r="J43" s="48">
        <f>(G43*I43)</f>
        <v>6</v>
      </c>
      <c r="K43" s="48" t="str">
        <f t="shared" si="2"/>
        <v>SIGNIFICANT</v>
      </c>
    </row>
    <row r="44" spans="1:11">
      <c r="A44" s="51"/>
      <c r="B44" s="53"/>
      <c r="C44" s="50"/>
      <c r="D44" s="51"/>
      <c r="E44" s="51"/>
      <c r="F44" s="51" t="s">
        <v>27</v>
      </c>
      <c r="G44" s="51">
        <f>IF(F44="Minor",1,IF(F44="Moderate",2,IF(F44="Major",3,"")))</f>
        <v>1</v>
      </c>
      <c r="H44" s="51" t="s">
        <v>28</v>
      </c>
      <c r="I44" s="51">
        <f>IF(H44="Unlikely",1,IF(H44="Possible",2,IF(H44="Likely",3,"")))</f>
        <v>1</v>
      </c>
      <c r="J44" s="48">
        <f>(G44*I44)</f>
        <v>1</v>
      </c>
      <c r="K44" s="48" t="str">
        <f t="shared" si="2"/>
        <v>LOW</v>
      </c>
    </row>
    <row r="45" spans="1:11">
      <c r="A45" s="51"/>
      <c r="B45" s="49" t="s">
        <v>70</v>
      </c>
      <c r="C45" s="50"/>
      <c r="D45" s="51"/>
      <c r="E45" s="51"/>
      <c r="F45" s="51"/>
      <c r="G45" s="51" t="str">
        <f>IF(F45="Minor",1,IF(F45="Moderate",2,IF(F45="Major",3,"")))</f>
        <v/>
      </c>
      <c r="H45" s="51"/>
      <c r="I45" s="51" t="str">
        <f>IF(H45="Unlikely",1,IF(H45="Possible",2,IF(H45="Likely",3,"")))</f>
        <v/>
      </c>
      <c r="J45" s="48"/>
      <c r="K45" s="48"/>
    </row>
    <row r="46" spans="1:11">
      <c r="A46" s="51"/>
      <c r="B46" s="52" t="s">
        <v>71</v>
      </c>
      <c r="C46" s="50"/>
      <c r="D46" s="51"/>
      <c r="E46" s="51"/>
      <c r="F46" s="51"/>
      <c r="G46" s="51" t="str">
        <f>IF(F46="Minor",1,IF(F46="Moderate",2,IF(F46="Major",3,"")))</f>
        <v/>
      </c>
      <c r="H46" s="51"/>
      <c r="I46" s="51" t="str">
        <f>IF(H46="Unlikely",1,IF(H46="Possible",2,IF(H46="Likely",3,"")))</f>
        <v/>
      </c>
      <c r="J46" s="48"/>
      <c r="K46" s="48"/>
    </row>
    <row r="47" spans="1:11">
      <c r="A47" s="51"/>
      <c r="B47" s="53" t="s">
        <v>72</v>
      </c>
      <c r="C47" s="50"/>
      <c r="D47" s="51" t="s">
        <v>73</v>
      </c>
      <c r="E47" s="51" t="s">
        <v>74</v>
      </c>
      <c r="F47" s="51" t="s">
        <v>17</v>
      </c>
      <c r="G47" s="51">
        <f>IF(F47="Minor",1,IF(F47="Moderate",2,IF(F47="Major",3,"")))</f>
        <v>3</v>
      </c>
      <c r="H47" s="51" t="s">
        <v>21</v>
      </c>
      <c r="I47" s="51">
        <f>IF(H47="Unlikely",1,IF(H47="Possible",2,IF(H47="Likely",3,"")))</f>
        <v>2</v>
      </c>
      <c r="J47" s="48">
        <f>(G47*I47)</f>
        <v>6</v>
      </c>
      <c r="K47" s="48" t="str">
        <f t="shared" si="2"/>
        <v>SIGNIFICANT</v>
      </c>
    </row>
    <row r="48" spans="1:11">
      <c r="A48" s="51"/>
      <c r="B48" s="54" t="s">
        <v>75</v>
      </c>
      <c r="C48" s="50"/>
      <c r="D48" s="51" t="s">
        <v>76</v>
      </c>
      <c r="E48" s="51" t="s">
        <v>77</v>
      </c>
      <c r="F48" s="51" t="s">
        <v>17</v>
      </c>
      <c r="G48" s="51">
        <f>IF(F48="Minor",1,IF(F48="Moderate",2,IF(F48="Major",3,"")))</f>
        <v>3</v>
      </c>
      <c r="H48" s="51" t="s">
        <v>21</v>
      </c>
      <c r="I48" s="51">
        <f>IF(H48="Unlikely",1,IF(H48="Possible",2,IF(H48="Likely",3,"")))</f>
        <v>2</v>
      </c>
      <c r="J48" s="48">
        <f>(G48*I48)</f>
        <v>6</v>
      </c>
      <c r="K48" s="48" t="str">
        <f>IF(J48&lt;=3,"LOW",IF(J48&lt;=5,"MODERATE",IF(J48&lt;=9,"SIGNIFICANT","")))</f>
        <v>SIGNIFICANT</v>
      </c>
    </row>
    <row r="49" spans="1:11">
      <c r="A49" s="51"/>
      <c r="B49" s="53" t="s">
        <v>78</v>
      </c>
      <c r="C49" s="50"/>
      <c r="D49" s="51" t="s">
        <v>79</v>
      </c>
      <c r="E49" s="51" t="s">
        <v>80</v>
      </c>
      <c r="F49" s="51" t="s">
        <v>17</v>
      </c>
      <c r="G49" s="51">
        <f>IF(F49="Minor",1,IF(F49="Moderate",2,IF(F49="Major",3,"")))</f>
        <v>3</v>
      </c>
      <c r="H49" s="51" t="s">
        <v>21</v>
      </c>
      <c r="I49" s="51">
        <f>IF(H49="Unlikely",1,IF(H49="Possible",2,IF(H49="Likely",3,"")))</f>
        <v>2</v>
      </c>
      <c r="J49" s="48">
        <f>(G49*I49)</f>
        <v>6</v>
      </c>
      <c r="K49" s="48" t="str">
        <f>IF(J49&lt;=3,"LOW",IF(J49&lt;=5,"MODERATE",IF(J49&lt;=9,"SIGNIFICANT","")))</f>
        <v>SIGNIFICANT</v>
      </c>
    </row>
    <row r="50" spans="1:11">
      <c r="A50" s="51"/>
      <c r="B50" s="53" t="s">
        <v>81</v>
      </c>
      <c r="C50" s="50"/>
      <c r="D50" s="51" t="s">
        <v>82</v>
      </c>
      <c r="E50" s="51" t="s">
        <v>83</v>
      </c>
      <c r="F50" s="51" t="s">
        <v>26</v>
      </c>
      <c r="G50" s="51">
        <f>IF(F50="Minor",1,IF(F50="Moderate",2,IF(F50="Major",3,"")))</f>
        <v>2</v>
      </c>
      <c r="H50" s="51" t="s">
        <v>18</v>
      </c>
      <c r="I50" s="51">
        <f>IF(H50="Unlikely",1,IF(H50="Possible",2,IF(H50="Likely",3,"")))</f>
        <v>3</v>
      </c>
      <c r="J50" s="48">
        <f>(G50*I50)</f>
        <v>6</v>
      </c>
      <c r="K50" s="48" t="str">
        <f>IF(J50&lt;=3,"LOW",IF(J50&lt;=5,"MODERATE",IF(J50&lt;=9,"SIGNIFICANT","")))</f>
        <v>SIGNIFICANT</v>
      </c>
    </row>
    <row r="51" spans="1:11">
      <c r="A51" s="51"/>
      <c r="B51" s="53" t="s">
        <v>84</v>
      </c>
      <c r="C51" s="50"/>
      <c r="D51" s="51" t="s">
        <v>85</v>
      </c>
      <c r="E51" s="51" t="s">
        <v>86</v>
      </c>
      <c r="F51" s="51" t="s">
        <v>17</v>
      </c>
      <c r="G51" s="51">
        <f>IF(F51="Minor",1,IF(F51="Moderate",2,IF(F51="Major",3,"")))</f>
        <v>3</v>
      </c>
      <c r="H51" s="51" t="s">
        <v>21</v>
      </c>
      <c r="I51" s="51">
        <f>IF(H51="Unlikely",1,IF(H51="Possible",2,IF(H51="Likely",3,"")))</f>
        <v>2</v>
      </c>
      <c r="J51" s="48">
        <f>(G51*I51)</f>
        <v>6</v>
      </c>
      <c r="K51" s="48" t="str">
        <f>IF(J51&lt;=3,"LOW",IF(J51&lt;=5,"MODERATE",IF(J51&lt;=9,"SIGNIFICANT","")))</f>
        <v>SIGNIFICANT</v>
      </c>
    </row>
    <row r="52" spans="1:11">
      <c r="A52" s="55"/>
      <c r="B52" s="56" t="s">
        <v>87</v>
      </c>
      <c r="C52" s="57"/>
      <c r="D52" s="55" t="s">
        <v>88</v>
      </c>
      <c r="E52" s="58" t="s">
        <v>89</v>
      </c>
      <c r="F52" s="51" t="s">
        <v>17</v>
      </c>
      <c r="G52" s="51">
        <f>IF(F52="Minor",1,IF(F52="Moderate",2,IF(F52="Major",3,"")))</f>
        <v>3</v>
      </c>
      <c r="H52" s="51" t="s">
        <v>18</v>
      </c>
      <c r="I52" s="51">
        <f>IF(H52="Unlikely",1,IF(H52="Possible",2,IF(H52="Likely",3,"")))</f>
        <v>3</v>
      </c>
      <c r="J52" s="48">
        <f>(G52*I52)</f>
        <v>9</v>
      </c>
      <c r="K52" s="48" t="str">
        <f>IF(J52&lt;=3,"LOW",IF(J52&lt;=5,"MODERATE",IF(J52&lt;=9,"SIGNIFICANT","")))</f>
        <v>SIGNIFICANT</v>
      </c>
    </row>
    <row r="53" spans="1:11">
      <c r="A53" s="59"/>
      <c r="B53" s="60" t="s">
        <v>90</v>
      </c>
      <c r="C53" s="61"/>
      <c r="D53" s="59" t="s">
        <v>91</v>
      </c>
      <c r="E53" s="62" t="s">
        <v>92</v>
      </c>
      <c r="F53" s="51" t="s">
        <v>26</v>
      </c>
      <c r="G53" s="51">
        <f>IF(F53="Minor",1,IF(F53="Moderate",2,IF(F53="Major",3,"")))</f>
        <v>2</v>
      </c>
      <c r="H53" s="51" t="s">
        <v>21</v>
      </c>
      <c r="I53" s="51">
        <f>IF(H53="Unlikely",1,IF(H53="Possible",2,IF(H53="Likely",3,"")))</f>
        <v>2</v>
      </c>
      <c r="J53" s="48">
        <f>(G53*I53)</f>
        <v>4</v>
      </c>
      <c r="K53" s="48" t="str">
        <f>IF(J53&lt;=3,"LOW",IF(J53&lt;=5,"MODERATE",IF(J53&lt;=9,"SIGNIFICANT","")))</f>
        <v>MODERATE</v>
      </c>
    </row>
    <row r="56" spans="1:11">
      <c r="B56" s="31" t="s">
        <v>93</v>
      </c>
      <c r="D56" s="31" t="s">
        <v>94</v>
      </c>
    </row>
    <row r="57" spans="1:11">
      <c r="B57" s="30" t="s">
        <v>95</v>
      </c>
      <c r="D57" s="31" t="s">
        <v>96</v>
      </c>
    </row>
    <row r="58" spans="1:11">
      <c r="B58" s="30" t="s">
        <v>97</v>
      </c>
      <c r="D58" s="30" t="s">
        <v>98</v>
      </c>
    </row>
    <row r="59" spans="1:11">
      <c r="B59" s="30" t="s">
        <v>99</v>
      </c>
    </row>
    <row r="60" spans="1:11">
      <c r="B60" s="30" t="s">
        <v>100</v>
      </c>
    </row>
    <row r="61" ht="15.75" spans="1:11">
      <c r="B61" s="1" t="s">
        <v>101</v>
      </c>
    </row>
  </sheetData>
  <mergeCells count="1">
    <mergeCell ref="A3:K3"/>
  </mergeCells>
  <conditionalFormatting sqref="K5:K54">
    <cfRule type="cellIs" dxfId="0" priority="1" operator="equal">
      <formula>"SIGNIFICANT"</formula>
    </cfRule>
    <cfRule type="cellIs" dxfId="1" priority="2" operator="equal">
      <formula>"MODERATE"</formula>
    </cfRule>
    <cfRule type="cellIs" dxfId="2" priority="3" operator="equal">
      <formula>"LOW"</formula>
    </cfRule>
  </conditionalFormatting>
  <dataValidations count="2">
    <dataValidation type="list" allowBlank="1" showInputMessage="1" showErrorMessage="1" sqref="F18 F25 F34 F47 F51 F5:F17 F19:F24 F26:F29 F30:F33 F35:F46 F48:F50 F52:F53">
      <formula1>"Major, Moderate, Minor"</formula1>
    </dataValidation>
    <dataValidation type="list" allowBlank="1" showInputMessage="1" showErrorMessage="1" sqref="H18 H25 H34 H47 H51 H5:H17 H19:H24 H26:H29 H30:H33 H35:H46 H48:H50 H52:H53">
      <formula1>"Likely, Possible, Unlikely"</formula1>
    </dataValidation>
  </dataValidations>
  <pageMargins left="0.7" right="0.7" top="0.75" bottom="0.75" header="0.3" footer="0.3"/>
  <pageSetup paperSize="1000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opLeftCell="A17" workbookViewId="0">
      <selection activeCell="B36" sqref="B32:B36"/>
    </sheetView>
  </sheetViews>
  <sheetFormatPr defaultColWidth="9.14285714285714" defaultRowHeight="15.75"/>
  <cols>
    <col min="1" max="1" width="5.90476190476191" style="1" customWidth="1"/>
    <col min="2" max="2" width="78.0095238095238" style="1" customWidth="1"/>
    <col min="3" max="3" width="33.1428571428571" style="1" customWidth="1"/>
    <col min="4" max="4" width="11.9047619047619" style="1" customWidth="1"/>
    <col min="5" max="5" width="12.4571428571429" style="1" customWidth="1"/>
    <col min="6" max="6" width="16.2857142857143" style="1" customWidth="1"/>
    <col min="7" max="7" width="80.1428571428571" style="1" customWidth="1"/>
    <col min="8" max="32" width="8.62857142857143" style="1"/>
    <col min="33" max="16384" width="9.14285714285714" style="1"/>
  </cols>
  <sheetData>
    <row r="1" ht="21" spans="1:7">
      <c r="A1" s="2" t="s">
        <v>102</v>
      </c>
      <c r="B1" s="3"/>
      <c r="C1" s="3"/>
      <c r="D1" s="3"/>
      <c r="E1" s="3"/>
      <c r="F1" s="3"/>
      <c r="G1" s="3"/>
    </row>
    <row r="2" ht="31.5" customHeight="1" spans="1:7">
      <c r="A2" s="4" t="s">
        <v>103</v>
      </c>
      <c r="B2" s="5" t="s">
        <v>104</v>
      </c>
      <c r="C2" s="5" t="s">
        <v>105</v>
      </c>
      <c r="D2" s="5" t="s">
        <v>11</v>
      </c>
      <c r="E2" s="6" t="s">
        <v>12</v>
      </c>
      <c r="F2" s="4" t="s">
        <v>106</v>
      </c>
      <c r="G2" s="6" t="s">
        <v>107</v>
      </c>
    </row>
    <row r="3" spans="1:7">
      <c r="A3" s="7">
        <v>1</v>
      </c>
      <c r="B3" s="8" t="s">
        <v>32</v>
      </c>
      <c r="C3" s="9" t="s">
        <v>108</v>
      </c>
      <c r="D3" s="9">
        <v>9</v>
      </c>
      <c r="E3" s="10" t="s">
        <v>109</v>
      </c>
      <c r="F3" s="11" t="s">
        <v>110</v>
      </c>
      <c r="G3" s="12" t="s">
        <v>111</v>
      </c>
    </row>
    <row r="4" spans="1:7">
      <c r="A4" s="7">
        <v>2</v>
      </c>
      <c r="B4" s="13" t="s">
        <v>16</v>
      </c>
      <c r="C4" s="9" t="s">
        <v>112</v>
      </c>
      <c r="D4" s="9">
        <v>9</v>
      </c>
      <c r="E4" s="10" t="s">
        <v>109</v>
      </c>
      <c r="F4" s="11" t="s">
        <v>110</v>
      </c>
      <c r="G4" s="14" t="s">
        <v>113</v>
      </c>
    </row>
    <row r="5" spans="1:7">
      <c r="A5" s="7">
        <v>3</v>
      </c>
      <c r="B5" s="13" t="s">
        <v>45</v>
      </c>
      <c r="C5" s="9" t="s">
        <v>114</v>
      </c>
      <c r="D5" s="9">
        <v>9</v>
      </c>
      <c r="E5" s="10" t="s">
        <v>109</v>
      </c>
      <c r="F5" s="11" t="s">
        <v>110</v>
      </c>
      <c r="G5" s="15" t="s">
        <v>115</v>
      </c>
    </row>
    <row r="6" spans="1:7">
      <c r="A6" s="7">
        <v>4</v>
      </c>
      <c r="B6" s="13" t="s">
        <v>89</v>
      </c>
      <c r="C6" s="9" t="s">
        <v>116</v>
      </c>
      <c r="D6" s="9">
        <v>9</v>
      </c>
      <c r="E6" s="10" t="s">
        <v>109</v>
      </c>
      <c r="F6" s="11" t="s">
        <v>110</v>
      </c>
      <c r="G6" s="15" t="s">
        <v>117</v>
      </c>
    </row>
    <row r="7" spans="1:7">
      <c r="A7" s="7">
        <v>5</v>
      </c>
      <c r="B7" s="13" t="s">
        <v>47</v>
      </c>
      <c r="C7" s="9" t="s">
        <v>118</v>
      </c>
      <c r="D7" s="9">
        <v>6</v>
      </c>
      <c r="E7" s="10" t="s">
        <v>109</v>
      </c>
      <c r="F7" s="11" t="s">
        <v>110</v>
      </c>
      <c r="G7" s="15" t="s">
        <v>119</v>
      </c>
    </row>
    <row r="8" spans="1:7">
      <c r="A8" s="7">
        <v>6</v>
      </c>
      <c r="B8" s="13" t="s">
        <v>49</v>
      </c>
      <c r="C8" s="9" t="s">
        <v>120</v>
      </c>
      <c r="D8" s="9">
        <v>6</v>
      </c>
      <c r="E8" s="10" t="s">
        <v>109</v>
      </c>
      <c r="F8" s="11" t="s">
        <v>110</v>
      </c>
      <c r="G8" s="15" t="s">
        <v>121</v>
      </c>
    </row>
    <row r="9" spans="1:7">
      <c r="A9" s="7">
        <v>7</v>
      </c>
      <c r="B9" s="13" t="s">
        <v>42</v>
      </c>
      <c r="C9" s="9" t="s">
        <v>122</v>
      </c>
      <c r="D9" s="9">
        <v>6</v>
      </c>
      <c r="E9" s="10" t="s">
        <v>109</v>
      </c>
      <c r="F9" s="11" t="s">
        <v>110</v>
      </c>
      <c r="G9" s="15" t="s">
        <v>123</v>
      </c>
    </row>
    <row r="10" spans="1:7">
      <c r="A10" s="7">
        <v>8</v>
      </c>
      <c r="B10" s="13" t="s">
        <v>23</v>
      </c>
      <c r="C10" s="9" t="s">
        <v>124</v>
      </c>
      <c r="D10" s="9">
        <v>6</v>
      </c>
      <c r="E10" s="10" t="s">
        <v>109</v>
      </c>
      <c r="F10" s="11" t="s">
        <v>110</v>
      </c>
      <c r="G10" s="15" t="s">
        <v>125</v>
      </c>
    </row>
    <row r="11" spans="1:7">
      <c r="A11" s="7">
        <v>9</v>
      </c>
      <c r="B11" s="13" t="s">
        <v>51</v>
      </c>
      <c r="C11" s="9" t="s">
        <v>126</v>
      </c>
      <c r="D11" s="9">
        <v>6</v>
      </c>
      <c r="E11" s="10" t="s">
        <v>109</v>
      </c>
      <c r="F11" s="11" t="s">
        <v>110</v>
      </c>
      <c r="G11" s="15" t="s">
        <v>127</v>
      </c>
    </row>
    <row r="12" spans="1:7">
      <c r="A12" s="7">
        <v>10</v>
      </c>
      <c r="B12" s="13" t="s">
        <v>69</v>
      </c>
      <c r="C12" s="9" t="s">
        <v>128</v>
      </c>
      <c r="D12" s="9">
        <v>6</v>
      </c>
      <c r="E12" s="10" t="s">
        <v>109</v>
      </c>
      <c r="F12" s="11" t="s">
        <v>110</v>
      </c>
      <c r="G12" s="15" t="s">
        <v>129</v>
      </c>
    </row>
    <row r="13" spans="1:7">
      <c r="A13" s="7">
        <v>11</v>
      </c>
      <c r="B13" s="13" t="s">
        <v>74</v>
      </c>
      <c r="C13" s="9" t="s">
        <v>130</v>
      </c>
      <c r="D13" s="9">
        <v>6</v>
      </c>
      <c r="E13" s="10" t="s">
        <v>109</v>
      </c>
      <c r="F13" s="11" t="s">
        <v>110</v>
      </c>
      <c r="G13" s="15" t="s">
        <v>131</v>
      </c>
    </row>
    <row r="14" spans="1:7">
      <c r="A14" s="7">
        <v>12</v>
      </c>
      <c r="B14" s="13" t="s">
        <v>77</v>
      </c>
      <c r="C14" s="9" t="s">
        <v>132</v>
      </c>
      <c r="D14" s="9">
        <v>6</v>
      </c>
      <c r="E14" s="10" t="s">
        <v>109</v>
      </c>
      <c r="F14" s="11" t="s">
        <v>110</v>
      </c>
      <c r="G14" s="15" t="s">
        <v>133</v>
      </c>
    </row>
    <row r="15" spans="1:7">
      <c r="A15" s="7">
        <v>13</v>
      </c>
      <c r="B15" s="13" t="s">
        <v>80</v>
      </c>
      <c r="C15" s="9" t="s">
        <v>134</v>
      </c>
      <c r="D15" s="9">
        <v>6</v>
      </c>
      <c r="E15" s="10" t="s">
        <v>109</v>
      </c>
      <c r="F15" s="11" t="s">
        <v>110</v>
      </c>
      <c r="G15" s="15" t="s">
        <v>135</v>
      </c>
    </row>
    <row r="16" spans="1:7">
      <c r="A16" s="7">
        <v>14</v>
      </c>
      <c r="B16" s="13" t="s">
        <v>83</v>
      </c>
      <c r="C16" s="9" t="s">
        <v>136</v>
      </c>
      <c r="D16" s="9">
        <v>6</v>
      </c>
      <c r="E16" s="10" t="s">
        <v>109</v>
      </c>
      <c r="F16" s="11" t="s">
        <v>110</v>
      </c>
      <c r="G16" s="15" t="s">
        <v>137</v>
      </c>
    </row>
    <row r="17" spans="1:16">
      <c r="A17" s="7">
        <v>15</v>
      </c>
      <c r="B17" s="13" t="s">
        <v>86</v>
      </c>
      <c r="C17" s="9" t="s">
        <v>138</v>
      </c>
      <c r="D17" s="9">
        <v>6</v>
      </c>
      <c r="E17" s="10" t="s">
        <v>109</v>
      </c>
      <c r="F17" s="11" t="s">
        <v>110</v>
      </c>
      <c r="G17" s="15" t="s">
        <v>139</v>
      </c>
    </row>
    <row r="18" spans="1:16">
      <c r="A18" s="7">
        <v>16</v>
      </c>
      <c r="B18" s="13" t="s">
        <v>59</v>
      </c>
      <c r="C18" s="9" t="s">
        <v>140</v>
      </c>
      <c r="D18" s="9">
        <v>6</v>
      </c>
      <c r="E18" s="10" t="s">
        <v>109</v>
      </c>
      <c r="F18" s="11" t="s">
        <v>110</v>
      </c>
      <c r="G18" s="15" t="s">
        <v>141</v>
      </c>
    </row>
    <row r="19" spans="1:16">
      <c r="A19" s="7">
        <v>17</v>
      </c>
      <c r="B19" s="13" t="s">
        <v>62</v>
      </c>
      <c r="C19" s="9" t="s">
        <v>142</v>
      </c>
      <c r="D19" s="9">
        <v>6</v>
      </c>
      <c r="E19" s="10" t="s">
        <v>109</v>
      </c>
      <c r="F19" s="11" t="s">
        <v>110</v>
      </c>
      <c r="G19" s="15" t="s">
        <v>143</v>
      </c>
    </row>
    <row r="20" spans="1:16">
      <c r="A20" s="7">
        <v>18</v>
      </c>
      <c r="B20" s="13" t="s">
        <v>20</v>
      </c>
      <c r="C20" s="9" t="s">
        <v>144</v>
      </c>
      <c r="D20" s="9">
        <v>6</v>
      </c>
      <c r="E20" s="10" t="s">
        <v>109</v>
      </c>
      <c r="F20" s="11" t="s">
        <v>110</v>
      </c>
      <c r="G20" s="15" t="s">
        <v>145</v>
      </c>
    </row>
    <row r="21" spans="1:16">
      <c r="A21" s="7">
        <v>19</v>
      </c>
      <c r="B21" s="13" t="s">
        <v>25</v>
      </c>
      <c r="C21" s="9" t="s">
        <v>146</v>
      </c>
      <c r="D21" s="9">
        <v>6</v>
      </c>
      <c r="E21" s="10" t="s">
        <v>109</v>
      </c>
      <c r="F21" s="11" t="s">
        <v>110</v>
      </c>
      <c r="G21" s="15" t="s">
        <v>147</v>
      </c>
    </row>
    <row r="22" spans="1:16">
      <c r="A22" s="7">
        <v>20</v>
      </c>
      <c r="B22" s="13" t="s">
        <v>53</v>
      </c>
      <c r="C22" s="9" t="s">
        <v>148</v>
      </c>
      <c r="D22" s="9">
        <v>4</v>
      </c>
      <c r="E22" s="16" t="s">
        <v>26</v>
      </c>
      <c r="F22" s="11" t="s">
        <v>110</v>
      </c>
      <c r="G22" s="15" t="s">
        <v>149</v>
      </c>
    </row>
    <row r="23" spans="1:16">
      <c r="A23" s="7">
        <v>21</v>
      </c>
      <c r="B23" s="17" t="s">
        <v>92</v>
      </c>
      <c r="C23" s="9" t="s">
        <v>150</v>
      </c>
      <c r="D23" s="9">
        <v>4</v>
      </c>
      <c r="E23" s="16" t="s">
        <v>26</v>
      </c>
      <c r="F23" s="11" t="s">
        <v>110</v>
      </c>
      <c r="G23" s="15" t="s">
        <v>151</v>
      </c>
    </row>
    <row r="24" spans="1:16">
      <c r="A24" s="7">
        <v>22</v>
      </c>
      <c r="B24" s="13" t="s">
        <v>35</v>
      </c>
      <c r="C24" s="9" t="s">
        <v>148</v>
      </c>
      <c r="D24" s="9">
        <v>4</v>
      </c>
      <c r="E24" s="16" t="s">
        <v>26</v>
      </c>
      <c r="F24" s="11" t="s">
        <v>110</v>
      </c>
      <c r="G24" s="15" t="s">
        <v>152</v>
      </c>
    </row>
    <row r="25" spans="1:16">
      <c r="A25" s="9">
        <v>23</v>
      </c>
      <c r="B25" s="13" t="s">
        <v>66</v>
      </c>
      <c r="C25" s="9" t="s">
        <v>153</v>
      </c>
      <c r="D25" s="9">
        <v>3</v>
      </c>
      <c r="E25" s="18" t="s">
        <v>154</v>
      </c>
      <c r="F25" s="11" t="s">
        <v>110</v>
      </c>
      <c r="G25" s="15" t="s">
        <v>155</v>
      </c>
    </row>
    <row r="26" spans="1:16">
      <c r="A26" s="9">
        <v>24</v>
      </c>
      <c r="B26" s="17" t="s">
        <v>37</v>
      </c>
      <c r="C26" s="9" t="s">
        <v>148</v>
      </c>
      <c r="D26" s="9">
        <v>2</v>
      </c>
      <c r="E26" s="18" t="s">
        <v>154</v>
      </c>
      <c r="F26" s="11" t="s">
        <v>110</v>
      </c>
      <c r="G26" s="15" t="s">
        <v>156</v>
      </c>
    </row>
    <row r="27" ht="16.5" spans="1:16">
      <c r="A27" s="19">
        <v>25</v>
      </c>
      <c r="B27" s="20" t="s">
        <v>39</v>
      </c>
      <c r="C27" s="20" t="s">
        <v>157</v>
      </c>
      <c r="D27" s="20">
        <v>2</v>
      </c>
      <c r="E27" s="21" t="s">
        <v>154</v>
      </c>
      <c r="F27" s="11" t="s">
        <v>110</v>
      </c>
      <c r="G27" s="22" t="s">
        <v>158</v>
      </c>
    </row>
    <row r="28" spans="1:16">
      <c r="A28" s="23"/>
      <c r="B28" s="24"/>
      <c r="C28" s="24"/>
      <c r="D28" s="25"/>
      <c r="E28" s="23"/>
      <c r="F28" s="23"/>
      <c r="G28" s="23"/>
    </row>
    <row r="29" spans="1:16">
      <c r="A29" s="23"/>
      <c r="B29" s="26"/>
      <c r="C29" s="23"/>
      <c r="D29" s="23"/>
      <c r="E29" s="27"/>
      <c r="F29" s="23"/>
      <c r="G29" s="28"/>
      <c r="H29" s="28"/>
      <c r="I29" s="29"/>
      <c r="J29" s="29"/>
      <c r="K29" s="29"/>
      <c r="L29" s="29"/>
      <c r="M29" s="29"/>
      <c r="N29" s="29"/>
      <c r="O29" s="29"/>
      <c r="P29" s="29"/>
    </row>
    <row r="30" spans="1:16">
      <c r="B30" s="30"/>
      <c r="C30" s="30"/>
      <c r="D30" s="30"/>
    </row>
    <row r="31" spans="1:16">
      <c r="B31" s="31" t="s">
        <v>93</v>
      </c>
      <c r="C31" s="30"/>
      <c r="D31" s="32"/>
      <c r="E31" s="33" t="s">
        <v>94</v>
      </c>
      <c r="F31" s="32"/>
    </row>
    <row r="32" spans="1:16">
      <c r="B32" s="30" t="s">
        <v>95</v>
      </c>
      <c r="D32" s="32"/>
      <c r="E32" s="33" t="s">
        <v>96</v>
      </c>
      <c r="F32" s="32"/>
    </row>
    <row r="33" spans="2:6">
      <c r="B33" s="30" t="s">
        <v>97</v>
      </c>
      <c r="D33" s="34"/>
      <c r="E33" s="34" t="s">
        <v>98</v>
      </c>
      <c r="F33" s="32"/>
    </row>
    <row r="34" spans="2:6">
      <c r="B34" s="30" t="s">
        <v>99</v>
      </c>
      <c r="D34" s="34"/>
      <c r="E34" s="34"/>
      <c r="F34" s="32"/>
    </row>
    <row r="35" spans="2:6">
      <c r="B35" s="30" t="s">
        <v>100</v>
      </c>
      <c r="C35" s="31"/>
      <c r="D35" s="34"/>
      <c r="E35" s="34"/>
      <c r="F35" s="32"/>
    </row>
    <row r="36" spans="2:6">
      <c r="B36" s="1" t="s">
        <v>101</v>
      </c>
      <c r="C36" s="30"/>
      <c r="D36" s="34"/>
      <c r="E36" s="34"/>
      <c r="F36" s="32"/>
    </row>
    <row r="37" spans="2:6">
      <c r="C37" s="30"/>
      <c r="D37" s="34"/>
      <c r="E37" s="34"/>
      <c r="F37" s="32"/>
    </row>
    <row r="38" spans="2:6">
      <c r="C38" s="30"/>
      <c r="D38" s="30"/>
      <c r="E38" s="30"/>
    </row>
    <row r="39" spans="2:6">
      <c r="C39" s="30"/>
      <c r="D39" s="30"/>
      <c r="E39" s="30"/>
    </row>
  </sheetData>
  <mergeCells count="1">
    <mergeCell ref="A1:G1"/>
  </mergeCells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Risk Assessment</vt:lpstr>
      <vt:lpstr>Ranked Vulnerability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Absolute Zero</dc:creator>
  <cp:lastModifiedBy>Cassie</cp:lastModifiedBy>
  <dcterms:created xsi:type="dcterms:W3CDTF">2021-09-11T14:35:00Z</dcterms:created>
  <dcterms:modified xsi:type="dcterms:W3CDTF">2026-09-10T16:34:32Z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2E001717B98147A6899841276CE42CB8_13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